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5D9D3FF8-4E1F-43CD-9C39-503B05C4A994}" xr6:coauthVersionLast="36" xr6:coauthVersionMax="36" xr10:uidLastSave="{00000000-0000-0000-0000-000000000000}"/>
  <bookViews>
    <workbookView xWindow="0" yWindow="0" windowWidth="19200" windowHeight="6855" activeTab="1" xr2:uid="{00000000-000D-0000-FFFF-FFFF00000000}"/>
  </bookViews>
  <sheets>
    <sheet name="Assumption" sheetId="2" r:id="rId1"/>
    <sheet name="Caculation V2 (HK)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3" i="5" l="1"/>
  <c r="N19" i="5"/>
  <c r="N9" i="5"/>
  <c r="N21" i="5"/>
  <c r="M22" i="5"/>
  <c r="L22" i="5"/>
  <c r="K22" i="5"/>
  <c r="J22" i="5"/>
  <c r="M7" i="5"/>
  <c r="L7" i="5"/>
  <c r="K7" i="5"/>
  <c r="J7" i="5"/>
  <c r="J17" i="5"/>
  <c r="I17" i="5"/>
  <c r="H17" i="5"/>
  <c r="I10" i="5"/>
  <c r="J10" i="5"/>
  <c r="K10" i="5"/>
  <c r="L10" i="5"/>
  <c r="M10" i="5"/>
  <c r="H10" i="5"/>
  <c r="H9" i="5"/>
  <c r="G21" i="5" l="1"/>
  <c r="F21" i="5"/>
  <c r="E21" i="5"/>
  <c r="D21" i="5"/>
  <c r="C21" i="5"/>
  <c r="I18" i="5"/>
  <c r="M17" i="5"/>
  <c r="L17" i="5"/>
  <c r="K17" i="5"/>
  <c r="G17" i="5"/>
  <c r="F17" i="5"/>
  <c r="E17" i="5"/>
  <c r="D17" i="5"/>
  <c r="C17" i="5"/>
  <c r="G9" i="5"/>
  <c r="G12" i="5" s="1"/>
  <c r="F9" i="5"/>
  <c r="F12" i="5" s="1"/>
  <c r="E9" i="5"/>
  <c r="E12" i="5" s="1"/>
  <c r="D9" i="5"/>
  <c r="D12" i="5" s="1"/>
  <c r="C9" i="5"/>
  <c r="C12" i="5" s="1"/>
  <c r="H12" i="5" l="1"/>
  <c r="I19" i="5"/>
  <c r="I21" i="5" s="1"/>
  <c r="H19" i="5"/>
  <c r="H21" i="5" s="1"/>
  <c r="H22" i="5" s="1"/>
  <c r="I8" i="5"/>
  <c r="J18" i="5"/>
  <c r="K18" i="5" s="1"/>
  <c r="L18" i="5" s="1"/>
  <c r="M18" i="5" s="1"/>
  <c r="I22" i="5" l="1"/>
  <c r="H13" i="5"/>
  <c r="M19" i="5"/>
  <c r="M21" i="5" s="1"/>
  <c r="K19" i="5"/>
  <c r="K21" i="5" s="1"/>
  <c r="J8" i="5"/>
  <c r="I9" i="5"/>
  <c r="J19" i="5"/>
  <c r="J21" i="5" s="1"/>
  <c r="L19" i="5"/>
  <c r="L21" i="5" s="1"/>
  <c r="I12" i="5" l="1"/>
  <c r="I13" i="5"/>
  <c r="K8" i="5"/>
  <c r="J9" i="5"/>
  <c r="J12" i="5" s="1"/>
  <c r="L8" i="5" l="1"/>
  <c r="K9" i="5"/>
  <c r="K12" i="5" s="1"/>
  <c r="M8" i="5" l="1"/>
  <c r="L9" i="5"/>
  <c r="J13" i="5"/>
  <c r="L12" i="5" l="1"/>
  <c r="M9" i="5"/>
  <c r="M12" i="5" s="1"/>
  <c r="K13" i="5"/>
  <c r="N12" i="5" l="1"/>
  <c r="L13" i="5"/>
  <c r="M13" i="5" l="1"/>
</calcChain>
</file>

<file path=xl/sharedStrings.xml><?xml version="1.0" encoding="utf-8"?>
<sst xmlns="http://schemas.openxmlformats.org/spreadsheetml/2006/main" count="29" uniqueCount="23">
  <si>
    <t>Vehicle sales</t>
  </si>
  <si>
    <t>Gross profit margin (%)</t>
  </si>
  <si>
    <t>Workshop sales</t>
  </si>
  <si>
    <t>Car population (#)</t>
  </si>
  <si>
    <t>20223Q1</t>
    <phoneticPr fontId="2" type="noConversion"/>
  </si>
  <si>
    <t>Total</t>
    <phoneticPr fontId="2" type="noConversion"/>
  </si>
  <si>
    <t>Inflation Rate</t>
    <phoneticPr fontId="2" type="noConversion"/>
  </si>
  <si>
    <t>Gross profit margin (%) for Sales</t>
    <phoneticPr fontId="2" type="noConversion"/>
  </si>
  <si>
    <t>Gross profit margin (%) for Aftersales</t>
    <phoneticPr fontId="2" type="noConversion"/>
  </si>
  <si>
    <t>Target</t>
    <phoneticPr fontId="2" type="noConversion"/>
  </si>
  <si>
    <t>Total Profit</t>
    <phoneticPr fontId="2" type="noConversion"/>
  </si>
  <si>
    <t>Average unit selling price (HKD)</t>
  </si>
  <si>
    <t>Average unit selling price (HKD)</t>
    <phoneticPr fontId="2" type="noConversion"/>
  </si>
  <si>
    <t>Average maintenance price (HKD)</t>
  </si>
  <si>
    <t>Average maintenance price (HKD)</t>
    <phoneticPr fontId="2" type="noConversion"/>
  </si>
  <si>
    <t>EV VAN</t>
    <phoneticPr fontId="2" type="noConversion"/>
  </si>
  <si>
    <t xml:space="preserve">Total market - </t>
    <phoneticPr fontId="2" type="noConversion"/>
  </si>
  <si>
    <r>
      <t>Unit of car sol</t>
    </r>
    <r>
      <rPr>
        <sz val="11"/>
        <color theme="1"/>
        <rFont val="Microsoft JhengHei"/>
        <family val="2"/>
        <charset val="136"/>
      </rPr>
      <t>d</t>
    </r>
    <phoneticPr fontId="2" type="noConversion"/>
  </si>
  <si>
    <t>Accumulated Gross profit  (HKD)</t>
  </si>
  <si>
    <t>Revenue (HKD)</t>
  </si>
  <si>
    <t>Opex(Showroom)(HKD)</t>
  </si>
  <si>
    <t>Gross profit  (HKD)</t>
  </si>
  <si>
    <t>12% of market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</si>
</sst>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10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Arial Unicode MS"/>
      <family val="2"/>
      <charset val="136"/>
    </font>
    <font>
      <b/>
      <sz val="11"/>
      <color theme="1"/>
      <name val="Arial Unicode MS"/>
      <family val="2"/>
      <charset val="136"/>
    </font>
    <font>
      <b/>
      <sz val="11"/>
      <color theme="0"/>
      <name val="Arial Unicode MS"/>
      <family val="2"/>
      <charset val="136"/>
    </font>
    <font>
      <b/>
      <u/>
      <sz val="11"/>
      <color theme="1"/>
      <name val="Arial Unicode MS"/>
      <family val="2"/>
      <charset val="136"/>
    </font>
    <font>
      <sz val="10"/>
      <color theme="1"/>
      <name val="Arial Unicode MS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Microsoft JhengHei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31"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3" borderId="0" xfId="0" applyFont="1" applyFill="1" applyAlignment="1">
      <alignment horizontal="right" wrapText="1"/>
    </xf>
    <xf numFmtId="176" fontId="7" fillId="3" borderId="0" xfId="1" applyNumberFormat="1" applyFont="1" applyFill="1" applyAlignment="1">
      <alignment horizontal="right" wrapText="1"/>
    </xf>
    <xf numFmtId="43" fontId="7" fillId="3" borderId="0" xfId="1" applyNumberFormat="1" applyFont="1" applyFill="1" applyAlignment="1">
      <alignment horizontal="right" wrapText="1"/>
    </xf>
    <xf numFmtId="176" fontId="7" fillId="5" borderId="0" xfId="1" applyNumberFormat="1" applyFont="1" applyFill="1" applyAlignment="1">
      <alignment horizontal="right" wrapText="1"/>
    </xf>
    <xf numFmtId="176" fontId="7" fillId="6" borderId="0" xfId="1" applyNumberFormat="1" applyFont="1" applyFill="1" applyAlignment="1">
      <alignment horizontal="right" wrapText="1"/>
    </xf>
    <xf numFmtId="0" fontId="7" fillId="5" borderId="0" xfId="0" applyFont="1" applyFill="1" applyAlignment="1">
      <alignment horizontal="right" wrapText="1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9" fontId="8" fillId="0" borderId="1" xfId="0" applyNumberFormat="1" applyFont="1" applyBorder="1" applyAlignment="1">
      <alignment horizontal="right"/>
    </xf>
    <xf numFmtId="176" fontId="8" fillId="0" borderId="1" xfId="1" applyNumberFormat="1" applyFont="1" applyBorder="1" applyAlignment="1">
      <alignment horizontal="right"/>
    </xf>
    <xf numFmtId="3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1" fontId="7" fillId="3" borderId="0" xfId="0" applyNumberFormat="1" applyFont="1" applyFill="1" applyAlignment="1">
      <alignment horizontal="right" wrapText="1"/>
    </xf>
    <xf numFmtId="1" fontId="7" fillId="5" borderId="0" xfId="0" applyNumberFormat="1" applyFont="1" applyFill="1" applyAlignment="1">
      <alignment horizontal="right" wrapText="1"/>
    </xf>
    <xf numFmtId="176" fontId="7" fillId="7" borderId="0" xfId="1" applyNumberFormat="1" applyFont="1" applyFill="1" applyAlignment="1">
      <alignment horizontal="right" wrapText="1"/>
    </xf>
    <xf numFmtId="176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 vertical="center" wrapText="1"/>
    </xf>
    <xf numFmtId="176" fontId="3" fillId="0" borderId="0" xfId="1" applyNumberFormat="1" applyFont="1" applyAlignment="1">
      <alignment horizontal="center"/>
    </xf>
    <xf numFmtId="176" fontId="7" fillId="8" borderId="0" xfId="1" applyNumberFormat="1" applyFont="1" applyFill="1" applyAlignment="1">
      <alignment horizontal="right" wrapText="1"/>
    </xf>
    <xf numFmtId="0" fontId="3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176" fontId="3" fillId="5" borderId="0" xfId="0" applyNumberFormat="1" applyFont="1" applyFill="1" applyAlignment="1">
      <alignment horizont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E9"/>
  <sheetViews>
    <sheetView zoomScale="120" zoomScaleNormal="120" workbookViewId="0">
      <selection activeCell="E5" sqref="E5"/>
    </sheetView>
  </sheetViews>
  <sheetFormatPr defaultRowHeight="15.75"/>
  <cols>
    <col min="4" max="4" width="42.7109375" bestFit="1" customWidth="1"/>
    <col min="5" max="5" width="18.28515625" bestFit="1" customWidth="1"/>
  </cols>
  <sheetData>
    <row r="4" spans="4:5">
      <c r="D4" s="16" t="s">
        <v>6</v>
      </c>
      <c r="E4" s="17">
        <v>0.02</v>
      </c>
    </row>
    <row r="5" spans="4:5">
      <c r="D5" s="16" t="s">
        <v>12</v>
      </c>
      <c r="E5" s="18">
        <v>500000</v>
      </c>
    </row>
    <row r="6" spans="4:5">
      <c r="D6" s="16" t="s">
        <v>14</v>
      </c>
      <c r="E6" s="19">
        <v>2000</v>
      </c>
    </row>
    <row r="7" spans="4:5">
      <c r="D7" s="16" t="s">
        <v>7</v>
      </c>
      <c r="E7" s="20">
        <v>0.09</v>
      </c>
    </row>
    <row r="8" spans="4:5">
      <c r="D8" s="16" t="s">
        <v>8</v>
      </c>
      <c r="E8" s="20">
        <v>0.35</v>
      </c>
    </row>
    <row r="9" spans="4:5">
      <c r="D9" s="16" t="s">
        <v>9</v>
      </c>
      <c r="E9" s="20" t="s">
        <v>22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N67"/>
  <sheetViews>
    <sheetView tabSelected="1" zoomScale="115" zoomScaleNormal="115" workbookViewId="0">
      <selection activeCell="B3" sqref="B3:N23"/>
    </sheetView>
  </sheetViews>
  <sheetFormatPr defaultColWidth="9" defaultRowHeight="15.75" outlineLevelCol="1"/>
  <cols>
    <col min="1" max="1" width="21.140625" style="14" customWidth="1"/>
    <col min="2" max="2" width="36.85546875" style="6" bestFit="1" customWidth="1"/>
    <col min="3" max="3" width="17.42578125" style="6" hidden="1" customWidth="1" outlineLevel="1"/>
    <col min="4" max="7" width="15.42578125" style="6" hidden="1" customWidth="1" outlineLevel="1"/>
    <col min="8" max="8" width="21.42578125" style="6" customWidth="1" collapsed="1"/>
    <col min="9" max="13" width="21.42578125" style="6" customWidth="1"/>
    <col min="14" max="14" width="26" style="6" bestFit="1" customWidth="1"/>
    <col min="15" max="15" width="12.85546875" style="6" bestFit="1" customWidth="1"/>
    <col min="16" max="16384" width="9" style="6"/>
  </cols>
  <sheetData>
    <row r="3" spans="1:14">
      <c r="B3" s="29" t="s">
        <v>15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8" customHeight="1">
      <c r="A4" s="13"/>
      <c r="B4" s="1"/>
      <c r="C4" s="2">
        <v>2021</v>
      </c>
      <c r="D4" s="2">
        <v>2022</v>
      </c>
      <c r="E4" s="2" t="s">
        <v>4</v>
      </c>
      <c r="F4" s="2">
        <v>2023</v>
      </c>
      <c r="G4" s="2">
        <v>2024</v>
      </c>
      <c r="H4" s="2">
        <v>2025</v>
      </c>
      <c r="I4" s="2">
        <v>2026</v>
      </c>
      <c r="J4" s="2">
        <v>2027</v>
      </c>
      <c r="K4" s="2">
        <v>2028</v>
      </c>
      <c r="L4" s="2">
        <v>2029</v>
      </c>
      <c r="M4" s="2">
        <v>2030</v>
      </c>
      <c r="N4" s="2" t="s">
        <v>5</v>
      </c>
    </row>
    <row r="5" spans="1:14" ht="18">
      <c r="B5" s="3" t="s">
        <v>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4">
      <c r="A6" s="15"/>
      <c r="B6" s="4" t="s">
        <v>16</v>
      </c>
      <c r="C6" s="7">
        <v>1439</v>
      </c>
      <c r="D6" s="7">
        <v>983</v>
      </c>
      <c r="E6" s="7">
        <v>287</v>
      </c>
      <c r="F6" s="7">
        <v>711</v>
      </c>
      <c r="G6" s="21">
        <v>1014.12</v>
      </c>
      <c r="H6" s="21">
        <v>263.40000000000009</v>
      </c>
      <c r="I6" s="21">
        <v>386.54999999999995</v>
      </c>
      <c r="J6" s="21">
        <v>436</v>
      </c>
      <c r="K6" s="21">
        <v>540</v>
      </c>
      <c r="L6" s="21">
        <v>630</v>
      </c>
      <c r="M6" s="21">
        <v>720</v>
      </c>
      <c r="N6" s="21"/>
    </row>
    <row r="7" spans="1:14">
      <c r="A7" s="15"/>
      <c r="B7" s="4" t="s">
        <v>17</v>
      </c>
      <c r="C7" s="7"/>
      <c r="D7" s="7"/>
      <c r="E7" s="7"/>
      <c r="F7" s="7"/>
      <c r="G7" s="7"/>
      <c r="H7" s="7">
        <v>0</v>
      </c>
      <c r="I7" s="7">
        <v>10</v>
      </c>
      <c r="J7" s="21">
        <f>J6*0.08</f>
        <v>34.880000000000003</v>
      </c>
      <c r="K7" s="21">
        <f>K6*0.1</f>
        <v>54</v>
      </c>
      <c r="L7" s="21">
        <f>L6*0.12</f>
        <v>75.599999999999994</v>
      </c>
      <c r="M7" s="21">
        <f>M6*0.12</f>
        <v>86.399999999999991</v>
      </c>
      <c r="N7" s="7"/>
    </row>
    <row r="8" spans="1:14">
      <c r="A8" s="15"/>
      <c r="B8" s="4" t="s">
        <v>11</v>
      </c>
      <c r="C8" s="8"/>
      <c r="D8" s="8"/>
      <c r="E8" s="8"/>
      <c r="F8" s="8"/>
      <c r="G8" s="8"/>
      <c r="H8" s="23">
        <v>500000</v>
      </c>
      <c r="I8" s="8">
        <f>H8*1.02</f>
        <v>510000</v>
      </c>
      <c r="J8" s="8">
        <f t="shared" ref="J8:M8" si="0">I8*1.02</f>
        <v>520200</v>
      </c>
      <c r="K8" s="8">
        <f t="shared" si="0"/>
        <v>530604</v>
      </c>
      <c r="L8" s="8">
        <f t="shared" si="0"/>
        <v>541216.07999999996</v>
      </c>
      <c r="M8" s="8">
        <f t="shared" si="0"/>
        <v>552040.40159999998</v>
      </c>
      <c r="N8" s="8"/>
    </row>
    <row r="9" spans="1:14">
      <c r="A9" s="15"/>
      <c r="B9" s="4" t="s">
        <v>19</v>
      </c>
      <c r="C9" s="10">
        <f>C8*C7</f>
        <v>0</v>
      </c>
      <c r="D9" s="10">
        <f t="shared" ref="D9:M9" si="1">D8*D7</f>
        <v>0</v>
      </c>
      <c r="E9" s="10">
        <f t="shared" si="1"/>
        <v>0</v>
      </c>
      <c r="F9" s="10">
        <f t="shared" si="1"/>
        <v>0</v>
      </c>
      <c r="G9" s="10">
        <f t="shared" si="1"/>
        <v>0</v>
      </c>
      <c r="H9" s="10">
        <f>H8*H7</f>
        <v>0</v>
      </c>
      <c r="I9" s="10">
        <f t="shared" si="1"/>
        <v>5100000</v>
      </c>
      <c r="J9" s="10">
        <f t="shared" si="1"/>
        <v>18144576</v>
      </c>
      <c r="K9" s="10">
        <f t="shared" si="1"/>
        <v>28652616</v>
      </c>
      <c r="L9" s="10">
        <f t="shared" si="1"/>
        <v>40915935.647999994</v>
      </c>
      <c r="M9" s="10">
        <f t="shared" si="1"/>
        <v>47696290.698239997</v>
      </c>
      <c r="N9" s="11">
        <f>SUM(C9:M9)</f>
        <v>140509418.34623998</v>
      </c>
    </row>
    <row r="10" spans="1:14">
      <c r="A10" s="15"/>
      <c r="B10" s="4" t="s">
        <v>1</v>
      </c>
      <c r="C10" s="9">
        <v>0.09</v>
      </c>
      <c r="D10" s="9">
        <v>0.09</v>
      </c>
      <c r="E10" s="9">
        <v>0.09</v>
      </c>
      <c r="F10" s="9">
        <v>0.09</v>
      </c>
      <c r="G10" s="9">
        <v>0.09</v>
      </c>
      <c r="H10" s="9">
        <f>Assumption!$E$7</f>
        <v>0.09</v>
      </c>
      <c r="I10" s="9">
        <f>Assumption!$E$7</f>
        <v>0.09</v>
      </c>
      <c r="J10" s="9">
        <f>Assumption!$E$7</f>
        <v>0.09</v>
      </c>
      <c r="K10" s="9">
        <f>Assumption!$E$7</f>
        <v>0.09</v>
      </c>
      <c r="L10" s="9">
        <f>Assumption!$E$7</f>
        <v>0.09</v>
      </c>
      <c r="M10" s="9">
        <f>Assumption!$E$7</f>
        <v>0.09</v>
      </c>
      <c r="N10" s="9"/>
    </row>
    <row r="11" spans="1:14">
      <c r="B11" s="4" t="s">
        <v>20</v>
      </c>
      <c r="C11" s="7"/>
      <c r="D11" s="7"/>
      <c r="E11" s="7"/>
      <c r="F11" s="7"/>
      <c r="G11" s="7"/>
      <c r="H11" s="27"/>
      <c r="I11" s="27"/>
      <c r="J11" s="27"/>
      <c r="K11" s="27"/>
      <c r="L11" s="27"/>
      <c r="M11" s="27"/>
      <c r="N11" s="7"/>
    </row>
    <row r="12" spans="1:14">
      <c r="A12" s="15"/>
      <c r="B12" s="4" t="s">
        <v>21</v>
      </c>
      <c r="C12" s="10">
        <f>C9*C10</f>
        <v>0</v>
      </c>
      <c r="D12" s="10">
        <f t="shared" ref="D12:G12" si="2">D9*D10</f>
        <v>0</v>
      </c>
      <c r="E12" s="10">
        <f t="shared" si="2"/>
        <v>0</v>
      </c>
      <c r="F12" s="10">
        <f t="shared" si="2"/>
        <v>0</v>
      </c>
      <c r="G12" s="10">
        <f t="shared" si="2"/>
        <v>0</v>
      </c>
      <c r="H12" s="10">
        <f>H9*H10+H11</f>
        <v>0</v>
      </c>
      <c r="I12" s="10">
        <f>I9*I10+I11</f>
        <v>459000</v>
      </c>
      <c r="J12" s="10">
        <f t="shared" ref="J12:M12" si="3">J9*J10+J11</f>
        <v>1633011.8399999999</v>
      </c>
      <c r="K12" s="10">
        <f t="shared" si="3"/>
        <v>2578735.44</v>
      </c>
      <c r="L12" s="10">
        <f>L9*L10+L11</f>
        <v>3682434.2083199993</v>
      </c>
      <c r="M12" s="10">
        <f t="shared" si="3"/>
        <v>4292666.1628415994</v>
      </c>
      <c r="N12" s="11">
        <f>SUM(C12:M12)</f>
        <v>12645847.651161598</v>
      </c>
    </row>
    <row r="13" spans="1:14">
      <c r="B13" s="4" t="s">
        <v>18</v>
      </c>
      <c r="C13" s="5"/>
      <c r="D13" s="5"/>
      <c r="E13" s="5"/>
      <c r="F13" s="5"/>
      <c r="G13" s="5"/>
      <c r="H13" s="25">
        <f>H12</f>
        <v>0</v>
      </c>
      <c r="I13" s="25">
        <f>H13+I12</f>
        <v>459000</v>
      </c>
      <c r="J13" s="25">
        <f t="shared" ref="J13:M13" si="4">I13+J12</f>
        <v>2092011.8399999999</v>
      </c>
      <c r="K13" s="25">
        <f t="shared" si="4"/>
        <v>4670747.2799999993</v>
      </c>
      <c r="L13" s="25">
        <f t="shared" si="4"/>
        <v>8353181.4883199986</v>
      </c>
      <c r="M13" s="25">
        <f t="shared" si="4"/>
        <v>12645847.651161598</v>
      </c>
    </row>
    <row r="14" spans="1:14">
      <c r="A14" s="15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4" ht="18">
      <c r="A15" s="13"/>
      <c r="B15" s="1"/>
      <c r="C15" s="2">
        <v>2021</v>
      </c>
      <c r="D15" s="2">
        <v>2022</v>
      </c>
      <c r="E15" s="2" t="s">
        <v>4</v>
      </c>
      <c r="F15" s="2">
        <v>2023</v>
      </c>
      <c r="G15" s="2">
        <v>2024</v>
      </c>
      <c r="H15" s="2">
        <v>2025</v>
      </c>
      <c r="I15" s="2">
        <v>2026</v>
      </c>
      <c r="J15" s="2">
        <v>2027</v>
      </c>
      <c r="K15" s="2">
        <v>2028</v>
      </c>
      <c r="L15" s="2">
        <v>2029</v>
      </c>
      <c r="M15" s="2">
        <v>2030</v>
      </c>
      <c r="N15" s="2" t="s">
        <v>5</v>
      </c>
    </row>
    <row r="16" spans="1:14" ht="18">
      <c r="B16" s="3" t="s">
        <v>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>
      <c r="A17" s="15"/>
      <c r="B17" s="4" t="s">
        <v>3</v>
      </c>
      <c r="C17" s="12">
        <f>C7</f>
        <v>0</v>
      </c>
      <c r="D17" s="12">
        <f t="shared" ref="D17:G17" si="5">D7</f>
        <v>0</v>
      </c>
      <c r="E17" s="12">
        <f t="shared" si="5"/>
        <v>0</v>
      </c>
      <c r="F17" s="12">
        <f t="shared" si="5"/>
        <v>0</v>
      </c>
      <c r="G17" s="12">
        <f t="shared" si="5"/>
        <v>0</v>
      </c>
      <c r="H17" s="22">
        <f>H7</f>
        <v>0</v>
      </c>
      <c r="I17" s="22">
        <f>SUM($H$7:I7)</f>
        <v>10</v>
      </c>
      <c r="J17" s="22">
        <f>SUM($H$7:J7)</f>
        <v>44.88</v>
      </c>
      <c r="K17" s="22">
        <f>SUM($H$7:K7)</f>
        <v>98.88</v>
      </c>
      <c r="L17" s="22">
        <f>SUM($H$7:L7)</f>
        <v>174.48</v>
      </c>
      <c r="M17" s="22">
        <f>SUM($H$7:M7)</f>
        <v>260.88</v>
      </c>
      <c r="N17" s="7"/>
    </row>
    <row r="18" spans="1:14">
      <c r="A18" s="15"/>
      <c r="B18" s="4" t="s">
        <v>13</v>
      </c>
      <c r="C18" s="8"/>
      <c r="D18" s="8"/>
      <c r="E18" s="8"/>
      <c r="F18" s="8"/>
      <c r="G18" s="8"/>
      <c r="H18" s="23">
        <v>2000</v>
      </c>
      <c r="I18" s="8">
        <f>H18*1.02</f>
        <v>2040</v>
      </c>
      <c r="J18" s="8">
        <f t="shared" ref="J18:M18" si="6">I18*1.02</f>
        <v>2080.8000000000002</v>
      </c>
      <c r="K18" s="8">
        <f t="shared" si="6"/>
        <v>2122.4160000000002</v>
      </c>
      <c r="L18" s="8">
        <f t="shared" si="6"/>
        <v>2164.8643200000001</v>
      </c>
      <c r="M18" s="8">
        <f t="shared" si="6"/>
        <v>2208.1616064</v>
      </c>
      <c r="N18" s="8"/>
    </row>
    <row r="19" spans="1:14">
      <c r="A19" s="15"/>
      <c r="B19" s="4" t="s">
        <v>19</v>
      </c>
      <c r="C19" s="10"/>
      <c r="D19" s="10"/>
      <c r="E19" s="10"/>
      <c r="F19" s="10"/>
      <c r="G19" s="10"/>
      <c r="H19" s="10">
        <f t="shared" ref="H19:L19" si="7">H17*H18</f>
        <v>0</v>
      </c>
      <c r="I19" s="10">
        <f t="shared" si="7"/>
        <v>20400</v>
      </c>
      <c r="J19" s="10">
        <f t="shared" si="7"/>
        <v>93386.304000000018</v>
      </c>
      <c r="K19" s="10">
        <f t="shared" si="7"/>
        <v>209864.49408</v>
      </c>
      <c r="L19" s="10">
        <f t="shared" si="7"/>
        <v>377725.52655359998</v>
      </c>
      <c r="M19" s="10">
        <f>M17*M18</f>
        <v>576065.19987763197</v>
      </c>
      <c r="N19" s="11">
        <f>SUM(C19:M19)</f>
        <v>1277441.524511232</v>
      </c>
    </row>
    <row r="20" spans="1:14">
      <c r="A20" s="15"/>
      <c r="B20" s="4" t="s">
        <v>1</v>
      </c>
      <c r="C20" s="7"/>
      <c r="D20" s="7"/>
      <c r="E20" s="7"/>
      <c r="F20" s="7"/>
      <c r="G20" s="7"/>
      <c r="H20" s="7">
        <v>0.35</v>
      </c>
      <c r="I20" s="7">
        <v>0.35</v>
      </c>
      <c r="J20" s="7">
        <v>0.35</v>
      </c>
      <c r="K20" s="7">
        <v>0.35</v>
      </c>
      <c r="L20" s="7">
        <v>0.35</v>
      </c>
      <c r="M20" s="7">
        <v>0.35</v>
      </c>
      <c r="N20" s="7"/>
    </row>
    <row r="21" spans="1:14">
      <c r="A21" s="15"/>
      <c r="B21" s="4" t="s">
        <v>21</v>
      </c>
      <c r="C21" s="10">
        <f t="shared" ref="C21:G21" si="8">C19*C20</f>
        <v>0</v>
      </c>
      <c r="D21" s="10">
        <f t="shared" si="8"/>
        <v>0</v>
      </c>
      <c r="E21" s="10">
        <f t="shared" si="8"/>
        <v>0</v>
      </c>
      <c r="F21" s="10">
        <f t="shared" si="8"/>
        <v>0</v>
      </c>
      <c r="G21" s="10">
        <f t="shared" si="8"/>
        <v>0</v>
      </c>
      <c r="H21" s="10">
        <f>H19*H20</f>
        <v>0</v>
      </c>
      <c r="I21" s="10">
        <f t="shared" ref="I21:M21" si="9">I19*I20</f>
        <v>7140</v>
      </c>
      <c r="J21" s="10">
        <f t="shared" si="9"/>
        <v>32685.206400000003</v>
      </c>
      <c r="K21" s="10">
        <f t="shared" si="9"/>
        <v>73452.572927999994</v>
      </c>
      <c r="L21" s="10">
        <f t="shared" si="9"/>
        <v>132203.93429375999</v>
      </c>
      <c r="M21" s="10">
        <f t="shared" si="9"/>
        <v>201622.81995717119</v>
      </c>
      <c r="N21" s="11">
        <f>SUM(C21:M21)</f>
        <v>447104.53357893118</v>
      </c>
    </row>
    <row r="22" spans="1:14">
      <c r="B22" s="4" t="s">
        <v>18</v>
      </c>
      <c r="H22" s="24">
        <f>H21</f>
        <v>0</v>
      </c>
      <c r="I22" s="24">
        <f>H22+I21</f>
        <v>7140</v>
      </c>
      <c r="J22" s="24">
        <f>I22+J21</f>
        <v>39825.206400000003</v>
      </c>
      <c r="K22" s="24">
        <f>J22+K21</f>
        <v>113277.779328</v>
      </c>
      <c r="L22" s="24">
        <f>K22+L21</f>
        <v>245481.71362175999</v>
      </c>
      <c r="M22" s="24">
        <f>L22+M21</f>
        <v>447104.53357893118</v>
      </c>
    </row>
    <row r="23" spans="1:14">
      <c r="B23" s="4"/>
      <c r="H23" s="24"/>
      <c r="I23" s="24"/>
      <c r="J23" s="24"/>
      <c r="K23" s="24"/>
      <c r="L23" s="24"/>
      <c r="M23" s="6" t="s">
        <v>10</v>
      </c>
      <c r="N23" s="30">
        <f>N21+N12</f>
        <v>13092952.184740528</v>
      </c>
    </row>
    <row r="24" spans="1:14">
      <c r="H24" s="24"/>
      <c r="I24" s="24"/>
      <c r="J24" s="24"/>
      <c r="K24" s="24"/>
      <c r="L24" s="24"/>
      <c r="M24" s="24"/>
    </row>
    <row r="25" spans="1:14">
      <c r="H25" s="24"/>
      <c r="I25" s="24"/>
      <c r="J25" s="24"/>
      <c r="K25" s="24"/>
      <c r="L25" s="24"/>
      <c r="M25" s="24"/>
    </row>
    <row r="64" spans="2:2">
      <c r="B64" s="6">
        <v>2034</v>
      </c>
    </row>
    <row r="65" spans="2:2">
      <c r="B65" s="26">
        <v>38806.805022064953</v>
      </c>
    </row>
    <row r="66" spans="2:2">
      <c r="B66" s="26">
        <v>55191.606282069457</v>
      </c>
    </row>
    <row r="67" spans="2:2">
      <c r="B67" s="26">
        <v>93998.41130413441</v>
      </c>
    </row>
  </sheetData>
  <mergeCells count="1">
    <mergeCell ref="B3:N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Assumption</vt:lpstr>
      <vt:lpstr>Caculation V2 (HK)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2025-07-11T14:06:47Z</dcterms:modified>
</cp:coreProperties>
</file>