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paulli1\Desktop\MINI BUS Research\"/>
    </mc:Choice>
  </mc:AlternateContent>
  <bookViews>
    <workbookView xWindow="0" yWindow="0" windowWidth="28800" windowHeight="12140" activeTab="3"/>
  </bookViews>
  <sheets>
    <sheet name="Dealer" sheetId="1" r:id="rId1"/>
    <sheet name="Price" sheetId="2" r:id="rId2"/>
    <sheet name="Operators" sheetId="3" r:id="rId3"/>
    <sheet name="TCO" sheetId="4" r:id="rId4"/>
  </sheets>
  <definedNames>
    <definedName name="_xlnm._FilterDatabase" localSheetId="0" hidden="1">Dealer!$C$1:$F$1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16" i="4"/>
  <c r="B15" i="4"/>
  <c r="B12" i="4"/>
  <c r="B11" i="4"/>
  <c r="B10" i="4"/>
  <c r="D6" i="4"/>
  <c r="B6" i="4"/>
  <c r="D21" i="2" l="1"/>
  <c r="E19" i="2"/>
  <c r="B19" i="2"/>
</calcChain>
</file>

<file path=xl/sharedStrings.xml><?xml version="1.0" encoding="utf-8"?>
<sst xmlns="http://schemas.openxmlformats.org/spreadsheetml/2006/main" count="98" uniqueCount="85">
  <si>
    <t>Toyota</t>
  </si>
  <si>
    <t>Crown Motors</t>
  </si>
  <si>
    <t>https://www.toyota.com.hk</t>
  </si>
  <si>
    <t>Mitsubishi Fuso</t>
  </si>
  <si>
    <t>環宇汽車有限公司</t>
  </si>
  <si>
    <t>https://www.mitsubishi-fuso.com.hk/about-us/corporate-profile/universal-cars-ltd/</t>
  </si>
  <si>
    <t>GMI</t>
  </si>
  <si>
    <t>本地品牌</t>
  </si>
  <si>
    <t>http://www.gmi-hk.com/zh-hant/</t>
  </si>
  <si>
    <t>Golden Dragon</t>
  </si>
  <si>
    <t>億達動力科技有限公司</t>
  </si>
  <si>
    <t>https://www.vertecmotors.com/zh-Hant/</t>
  </si>
  <si>
    <t>Isuzu</t>
  </si>
  <si>
    <t>Dah Chong Hong</t>
  </si>
  <si>
    <t>https://www.dch.com.hk</t>
  </si>
  <si>
    <t>MAN</t>
  </si>
  <si>
    <t>MAN Truck &amp; Bus</t>
  </si>
  <si>
    <t>https://www.mantruckandbus.com</t>
  </si>
  <si>
    <t>Ford</t>
  </si>
  <si>
    <t>Ford Hong Kong</t>
  </si>
  <si>
    <t>https://www.ford.com.hk</t>
  </si>
  <si>
    <t>Mercedes-Benz</t>
  </si>
  <si>
    <t>仁孚行有限公司</t>
  </si>
  <si>
    <t>Mercedes-Benz Hong Kong</t>
  </si>
  <si>
    <t>2019-2024 Registration Quantity</t>
    <phoneticPr fontId="4" type="noConversion"/>
  </si>
  <si>
    <t>Company Link</t>
    <phoneticPr fontId="4" type="noConversion"/>
  </si>
  <si>
    <t>Dealer</t>
    <phoneticPr fontId="4" type="noConversion"/>
  </si>
  <si>
    <t>Brand</t>
    <phoneticPr fontId="4" type="noConversion"/>
  </si>
  <si>
    <t>預審合資格供應商</t>
  </si>
  <si>
    <t>電動公共小巴型號</t>
  </si>
  <si>
    <t>售價(港元)</t>
  </si>
  <si>
    <t>Green Mobility Innovations Limited</t>
  </si>
  <si>
    <t>THOR</t>
  </si>
  <si>
    <t>香港木星電動車有限公司</t>
  </si>
  <si>
    <t>WD6757BEVRG01低地台</t>
  </si>
  <si>
    <t>XML6722JEV</t>
  </si>
  <si>
    <t>瑞昌汽車有限公司</t>
  </si>
  <si>
    <t>SOLUTION低地台</t>
  </si>
  <si>
    <t>信興新能源有限公司</t>
  </si>
  <si>
    <t>GTQ6721BEVBT30</t>
  </si>
  <si>
    <t>柴油 - 長陣手波</t>
  </si>
  <si>
    <t>柴油 - 長陣自動波</t>
  </si>
  <si>
    <t>柴油 - 超長陣手波</t>
  </si>
  <si>
    <t>柴油 - 超長陣自動波</t>
  </si>
  <si>
    <t>柴油公共小巴 - 手波</t>
  </si>
  <si>
    <t>柴油公共小巴 - 自動波</t>
  </si>
  <si>
    <t>Toyota Coaster</t>
    <phoneticPr fontId="4" type="noConversion"/>
  </si>
  <si>
    <t>BE741GRMSDAB</t>
  </si>
  <si>
    <t>FUSO ROSA(YOM 2024)</t>
    <phoneticPr fontId="4" type="noConversion"/>
  </si>
  <si>
    <t xml:space="preserve">Powersteering </t>
    <phoneticPr fontId="4" type="noConversion"/>
  </si>
  <si>
    <t>BE741ERMSDAB</t>
  </si>
  <si>
    <t>GMI</t>
    <phoneticPr fontId="4" type="noConversion"/>
  </si>
  <si>
    <t>THOR</t>
    <phoneticPr fontId="4" type="noConversion"/>
  </si>
  <si>
    <t>XML6701J</t>
  </si>
  <si>
    <t>Medium</t>
    <phoneticPr fontId="4" type="noConversion"/>
  </si>
  <si>
    <t>Golden Dragon</t>
    <phoneticPr fontId="4" type="noConversion"/>
  </si>
  <si>
    <t>WD6757BEVRG01 LE</t>
    <phoneticPr fontId="4" type="noConversion"/>
  </si>
  <si>
    <t xml:space="preserve"> SOLUTION LE</t>
    <phoneticPr fontId="4" type="noConversion"/>
  </si>
  <si>
    <t>Optare</t>
    <phoneticPr fontId="4" type="noConversion"/>
  </si>
  <si>
    <t>Jupiter EV HK Limited</t>
  </si>
  <si>
    <t>Guangtong</t>
    <phoneticPr fontId="4" type="noConversion"/>
  </si>
  <si>
    <t>Gemini(Range-Extended)</t>
  </si>
  <si>
    <t>Gemini(Range-Extended)</t>
    <phoneticPr fontId="4" type="noConversion"/>
  </si>
  <si>
    <t>冠榮車行</t>
  </si>
  <si>
    <t>AMS Public Transport</t>
  </si>
  <si>
    <t>Diesel</t>
    <phoneticPr fontId="4" type="noConversion"/>
  </si>
  <si>
    <t>EV</t>
    <phoneticPr fontId="4" type="noConversion"/>
  </si>
  <si>
    <t xml:space="preserve">Fuel </t>
    <phoneticPr fontId="4" type="noConversion"/>
  </si>
  <si>
    <t>Fee</t>
    <phoneticPr fontId="4" type="noConversion"/>
  </si>
  <si>
    <t>km/L</t>
    <phoneticPr fontId="4" type="noConversion"/>
  </si>
  <si>
    <t>HKD/L</t>
    <phoneticPr fontId="4" type="noConversion"/>
  </si>
  <si>
    <t>Maintenance</t>
    <phoneticPr fontId="4" type="noConversion"/>
  </si>
  <si>
    <t>month</t>
    <phoneticPr fontId="4" type="noConversion"/>
  </si>
  <si>
    <t>km/Kwh</t>
    <phoneticPr fontId="4" type="noConversion"/>
  </si>
  <si>
    <t>Kwh</t>
  </si>
  <si>
    <t>Fuel Gap in 1km</t>
    <phoneticPr fontId="4" type="noConversion"/>
  </si>
  <si>
    <t>Daily Distance</t>
    <phoneticPr fontId="4" type="noConversion"/>
  </si>
  <si>
    <t>KM</t>
    <phoneticPr fontId="4" type="noConversion"/>
  </si>
  <si>
    <t>Maintenance Gap in 1km</t>
    <phoneticPr fontId="4" type="noConversion"/>
  </si>
  <si>
    <t>Price Gap</t>
    <phoneticPr fontId="4" type="noConversion"/>
  </si>
  <si>
    <t>Day to break even</t>
    <phoneticPr fontId="4" type="noConversion"/>
  </si>
  <si>
    <t>Sum</t>
    <phoneticPr fontId="4" type="noConversion"/>
  </si>
  <si>
    <t>Fuel Cost</t>
    <phoneticPr fontId="4" type="noConversion"/>
  </si>
  <si>
    <t>HKD/km</t>
    <phoneticPr fontId="4" type="noConversion"/>
  </si>
  <si>
    <t>Year to Breakevan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</si>
</sst>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;[Red]\-&quot;$&quot;#,##0"/>
    <numFmt numFmtId="43" formatCode="_-* #,##0.00_-;\-* #,##0.00_-;_-* &quot;-&quot;??_-;_-@_-"/>
    <numFmt numFmtId="176" formatCode="_-* #,##0.0_-;\-* #,##0.0_-;_-* &quot;-&quot;??_-;_-@_-"/>
    <numFmt numFmtId="177" formatCode="_-* #,##0_-;\-* #,##0_-;_-* &quot;-&quot;??_-;_-@_-"/>
  </numFmts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u/>
      <sz val="12"/>
      <color theme="1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2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6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>
      <alignment vertical="center"/>
    </xf>
    <xf numFmtId="176" fontId="0" fillId="0" borderId="0" xfId="3" applyNumberFormat="1" applyFont="1">
      <alignment vertical="center"/>
    </xf>
    <xf numFmtId="177" fontId="0" fillId="0" borderId="0" xfId="3" applyNumberFormat="1" applyFont="1">
      <alignment vertical="center"/>
    </xf>
    <xf numFmtId="43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">
    <cellStyle name="一般" xfId="0" builtinId="0"/>
    <cellStyle name="千分位" xfId="3" builtinId="3"/>
    <cellStyle name="百分比" xfId="1" builtinId="5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ungfu.com/tc/index.html" TargetMode="External"/><Relationship Id="rId3" Type="http://schemas.openxmlformats.org/officeDocument/2006/relationships/hyperlink" Target="http://www.gmi-hk.com/zh-hant/" TargetMode="External"/><Relationship Id="rId7" Type="http://schemas.openxmlformats.org/officeDocument/2006/relationships/hyperlink" Target="https://www.ford.com.hk/" TargetMode="External"/><Relationship Id="rId2" Type="http://schemas.openxmlformats.org/officeDocument/2006/relationships/hyperlink" Target="https://www.mitsubishi-fuso.com.hk/about-us/corporate-profile/universal-cars-ltd/" TargetMode="External"/><Relationship Id="rId1" Type="http://schemas.openxmlformats.org/officeDocument/2006/relationships/hyperlink" Target="https://www.toyota.com.hk/" TargetMode="External"/><Relationship Id="rId6" Type="http://schemas.openxmlformats.org/officeDocument/2006/relationships/hyperlink" Target="https://www.mantruckandbus.com/" TargetMode="External"/><Relationship Id="rId5" Type="http://schemas.openxmlformats.org/officeDocument/2006/relationships/hyperlink" Target="https://www.dch.com.hk/" TargetMode="External"/><Relationship Id="rId4" Type="http://schemas.openxmlformats.org/officeDocument/2006/relationships/hyperlink" Target="https://www.vertecmotors.com/zh-Hant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0"/>
  <sheetViews>
    <sheetView workbookViewId="0">
      <selection activeCell="C5" sqref="C5"/>
    </sheetView>
  </sheetViews>
  <sheetFormatPr defaultRowHeight="17"/>
  <cols>
    <col min="3" max="5" width="44.6328125" style="1" customWidth="1"/>
    <col min="6" max="6" width="24" style="1" customWidth="1"/>
  </cols>
  <sheetData>
    <row r="1" spans="3:6">
      <c r="C1" s="6" t="s">
        <v>27</v>
      </c>
      <c r="D1" s="6" t="s">
        <v>26</v>
      </c>
      <c r="E1" s="6" t="s">
        <v>24</v>
      </c>
      <c r="F1" s="6" t="s">
        <v>25</v>
      </c>
    </row>
    <row r="2" spans="3:6">
      <c r="C2" s="7" t="s">
        <v>0</v>
      </c>
      <c r="D2" s="7" t="s">
        <v>1</v>
      </c>
      <c r="E2" s="7">
        <v>2145</v>
      </c>
      <c r="F2" s="8" t="s">
        <v>2</v>
      </c>
    </row>
    <row r="3" spans="3:6">
      <c r="C3" s="7" t="s">
        <v>3</v>
      </c>
      <c r="D3" s="7" t="s">
        <v>4</v>
      </c>
      <c r="E3" s="7">
        <v>235</v>
      </c>
      <c r="F3" s="8" t="s">
        <v>5</v>
      </c>
    </row>
    <row r="4" spans="3:6">
      <c r="C4" s="7" t="s">
        <v>6</v>
      </c>
      <c r="D4" s="7" t="s">
        <v>7</v>
      </c>
      <c r="E4" s="7">
        <v>24</v>
      </c>
      <c r="F4" s="8" t="s">
        <v>8</v>
      </c>
    </row>
    <row r="5" spans="3:6">
      <c r="C5" s="7" t="s">
        <v>9</v>
      </c>
      <c r="D5" s="7" t="s">
        <v>10</v>
      </c>
      <c r="E5" s="7">
        <v>12</v>
      </c>
      <c r="F5" s="8" t="s">
        <v>11</v>
      </c>
    </row>
    <row r="6" spans="3:6">
      <c r="C6" s="7" t="s">
        <v>12</v>
      </c>
      <c r="D6" s="7" t="s">
        <v>13</v>
      </c>
      <c r="E6" s="7">
        <v>5</v>
      </c>
      <c r="F6" s="8" t="s">
        <v>14</v>
      </c>
    </row>
    <row r="7" spans="3:6">
      <c r="C7" s="7" t="s">
        <v>15</v>
      </c>
      <c r="D7" s="7" t="s">
        <v>16</v>
      </c>
      <c r="E7" s="7">
        <v>3</v>
      </c>
      <c r="F7" s="8" t="s">
        <v>17</v>
      </c>
    </row>
    <row r="8" spans="3:6">
      <c r="C8" s="7" t="s">
        <v>18</v>
      </c>
      <c r="D8" s="7" t="s">
        <v>19</v>
      </c>
      <c r="E8" s="7">
        <v>3</v>
      </c>
      <c r="F8" s="8" t="s">
        <v>20</v>
      </c>
    </row>
    <row r="9" spans="3:6">
      <c r="C9" s="7" t="s">
        <v>21</v>
      </c>
      <c r="D9" s="7" t="s">
        <v>22</v>
      </c>
      <c r="E9" s="7">
        <v>2</v>
      </c>
      <c r="F9" s="8" t="s">
        <v>23</v>
      </c>
    </row>
    <row r="10" spans="3:6">
      <c r="F10" s="2"/>
    </row>
  </sheetData>
  <autoFilter ref="C1:F1">
    <sortState ref="C3:E3">
      <sortCondition ref="C1"/>
    </sortState>
  </autoFilter>
  <phoneticPr fontId="4" type="noConversion"/>
  <hyperlinks>
    <hyperlink ref="F2" r:id="rId1" display="https://www.toyota.com.hk/"/>
    <hyperlink ref="F3" r:id="rId2"/>
    <hyperlink ref="F4" r:id="rId3"/>
    <hyperlink ref="F5" r:id="rId4"/>
    <hyperlink ref="F6" r:id="rId5" display="https://www.dch.com.hk/"/>
    <hyperlink ref="F7" r:id="rId6" display="https://www.mantruckandbus.com/"/>
    <hyperlink ref="F8" r:id="rId7" display="https://www.ford.com.hk/"/>
    <hyperlink ref="F9" r:id="rId8" display="https://www.zungfu.com/tc/index.html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E27" sqref="E27"/>
    </sheetView>
  </sheetViews>
  <sheetFormatPr defaultRowHeight="17"/>
  <cols>
    <col min="1" max="1" width="31.7265625" style="3" bestFit="1" customWidth="1"/>
    <col min="2" max="2" width="24.36328125" style="3" bestFit="1" customWidth="1"/>
    <col min="3" max="3" width="13.453125" style="3" customWidth="1"/>
    <col min="4" max="4" width="23.08984375" bestFit="1" customWidth="1"/>
    <col min="7" max="7" width="22.7265625" bestFit="1" customWidth="1"/>
    <col min="8" max="8" width="10.453125" bestFit="1" customWidth="1"/>
    <col min="9" max="9" width="10.453125" customWidth="1"/>
    <col min="10" max="10" width="14" bestFit="1" customWidth="1"/>
    <col min="11" max="11" width="10.453125" bestFit="1" customWidth="1"/>
    <col min="14" max="14" width="31.7265625" bestFit="1" customWidth="1"/>
    <col min="15" max="15" width="24.36328125" bestFit="1" customWidth="1"/>
    <col min="16" max="16" width="9.453125" bestFit="1" customWidth="1"/>
  </cols>
  <sheetData>
    <row r="1" spans="1:16" ht="33" customHeight="1">
      <c r="A1" s="4" t="s">
        <v>28</v>
      </c>
      <c r="B1" s="4" t="s">
        <v>29</v>
      </c>
      <c r="C1" s="4" t="s">
        <v>30</v>
      </c>
    </row>
    <row r="2" spans="1:16" ht="49.5" customHeight="1">
      <c r="A2" s="5" t="s">
        <v>31</v>
      </c>
      <c r="B2" s="5" t="s">
        <v>52</v>
      </c>
      <c r="C2" s="11">
        <v>1383060</v>
      </c>
    </row>
    <row r="3" spans="1:16" ht="33" customHeight="1">
      <c r="A3" s="5" t="s">
        <v>33</v>
      </c>
      <c r="B3" s="5" t="s">
        <v>34</v>
      </c>
      <c r="C3" s="11">
        <v>1500000</v>
      </c>
    </row>
    <row r="4" spans="1:16" ht="33" customHeight="1">
      <c r="A4" s="5" t="s">
        <v>10</v>
      </c>
      <c r="B4" s="5" t="s">
        <v>35</v>
      </c>
      <c r="C4" s="11">
        <v>1680000</v>
      </c>
    </row>
    <row r="5" spans="1:16" ht="16.5" customHeight="1">
      <c r="A5" s="5" t="s">
        <v>36</v>
      </c>
      <c r="B5" s="5" t="s">
        <v>37</v>
      </c>
      <c r="C5" s="11">
        <v>1800000</v>
      </c>
    </row>
    <row r="6" spans="1:16" ht="33" customHeight="1">
      <c r="A6" s="5" t="s">
        <v>38</v>
      </c>
      <c r="B6" s="5" t="s">
        <v>39</v>
      </c>
      <c r="C6" s="11">
        <v>2000000</v>
      </c>
    </row>
    <row r="7" spans="1:16">
      <c r="C7" s="9"/>
    </row>
    <row r="11" spans="1:16">
      <c r="A11" s="3" t="s">
        <v>46</v>
      </c>
      <c r="D11" s="3" t="s">
        <v>48</v>
      </c>
      <c r="G11" t="s">
        <v>51</v>
      </c>
      <c r="J11" t="s">
        <v>9</v>
      </c>
      <c r="N11" s="5" t="s">
        <v>51</v>
      </c>
      <c r="O11" t="s">
        <v>61</v>
      </c>
      <c r="P11">
        <v>1110600</v>
      </c>
    </row>
    <row r="12" spans="1:16">
      <c r="A12" s="3" t="s">
        <v>40</v>
      </c>
      <c r="B12" s="10">
        <v>640866</v>
      </c>
      <c r="C12" s="10"/>
      <c r="D12" s="3" t="s">
        <v>47</v>
      </c>
      <c r="E12" s="10">
        <v>619000</v>
      </c>
      <c r="G12" t="s">
        <v>62</v>
      </c>
      <c r="H12" s="10">
        <v>1110600</v>
      </c>
      <c r="I12" s="10"/>
      <c r="J12" t="s">
        <v>53</v>
      </c>
      <c r="K12" s="10">
        <v>300000</v>
      </c>
      <c r="N12" s="5" t="s">
        <v>51</v>
      </c>
      <c r="O12" s="5" t="s">
        <v>52</v>
      </c>
      <c r="P12" s="11">
        <v>1383060</v>
      </c>
    </row>
    <row r="13" spans="1:16">
      <c r="A13" s="3" t="s">
        <v>41</v>
      </c>
      <c r="B13" s="10">
        <v>671976</v>
      </c>
      <c r="C13" s="10"/>
      <c r="D13" s="3" t="s">
        <v>50</v>
      </c>
      <c r="E13" s="10">
        <v>595000</v>
      </c>
      <c r="G13" t="s">
        <v>32</v>
      </c>
      <c r="H13" s="10">
        <v>1383060</v>
      </c>
      <c r="I13" s="10"/>
      <c r="J13" t="s">
        <v>35</v>
      </c>
      <c r="K13" s="10">
        <v>1680000</v>
      </c>
      <c r="N13" s="5" t="s">
        <v>59</v>
      </c>
      <c r="O13" s="5" t="s">
        <v>56</v>
      </c>
      <c r="P13" s="11">
        <v>1500000</v>
      </c>
    </row>
    <row r="14" spans="1:16">
      <c r="A14" s="3" t="s">
        <v>42</v>
      </c>
      <c r="B14" s="10">
        <v>685457</v>
      </c>
      <c r="C14" s="10"/>
      <c r="D14" s="3" t="s">
        <v>49</v>
      </c>
      <c r="E14" s="10">
        <v>10000</v>
      </c>
      <c r="N14" s="5" t="s">
        <v>55</v>
      </c>
      <c r="O14" s="5" t="s">
        <v>35</v>
      </c>
      <c r="P14" s="11">
        <v>1680000</v>
      </c>
    </row>
    <row r="15" spans="1:16">
      <c r="A15" s="3" t="s">
        <v>43</v>
      </c>
      <c r="B15" s="10">
        <v>711382</v>
      </c>
      <c r="C15" s="10"/>
      <c r="D15" s="3"/>
      <c r="E15" s="10"/>
      <c r="N15" s="5" t="s">
        <v>58</v>
      </c>
      <c r="O15" s="5" t="s">
        <v>57</v>
      </c>
      <c r="P15" s="11">
        <v>1800000</v>
      </c>
    </row>
    <row r="16" spans="1:16">
      <c r="A16" s="3" t="s">
        <v>44</v>
      </c>
      <c r="B16" s="10">
        <v>718641</v>
      </c>
      <c r="C16" s="10"/>
      <c r="D16" s="3"/>
      <c r="E16" s="10"/>
      <c r="N16" s="5" t="s">
        <v>60</v>
      </c>
      <c r="O16" s="5" t="s">
        <v>39</v>
      </c>
      <c r="P16" s="11">
        <v>2000000</v>
      </c>
    </row>
    <row r="17" spans="1:5">
      <c r="A17" s="3" t="s">
        <v>45</v>
      </c>
      <c r="B17" s="10">
        <v>749751</v>
      </c>
      <c r="C17" s="10"/>
    </row>
    <row r="18" spans="1:5">
      <c r="B18" s="10"/>
      <c r="C18" s="10"/>
    </row>
    <row r="19" spans="1:5">
      <c r="A19" s="3" t="s">
        <v>54</v>
      </c>
      <c r="B19" s="10">
        <f>AVERAGE(B12:B17)</f>
        <v>696345.5</v>
      </c>
      <c r="D19" s="3" t="s">
        <v>54</v>
      </c>
      <c r="E19" s="10">
        <f>AVERAGE(E12:E13)</f>
        <v>607000</v>
      </c>
    </row>
    <row r="21" spans="1:5">
      <c r="D21" s="12">
        <f>(E19-B19)/B19</f>
        <v>-0.12830627899512526</v>
      </c>
    </row>
    <row r="27" spans="1:5">
      <c r="D27">
        <v>19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>
      <selection activeCell="B2" sqref="B2:C3"/>
    </sheetView>
  </sheetViews>
  <sheetFormatPr defaultRowHeight="17"/>
  <cols>
    <col min="2" max="2" width="19.90625" bestFit="1" customWidth="1"/>
  </cols>
  <sheetData>
    <row r="2" spans="2:3">
      <c r="B2" t="s">
        <v>63</v>
      </c>
      <c r="C2">
        <v>650</v>
      </c>
    </row>
    <row r="3" spans="2:3">
      <c r="B3" t="s">
        <v>64</v>
      </c>
      <c r="C3">
        <v>350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tabSelected="1" workbookViewId="0">
      <selection activeCell="G16" sqref="G16"/>
    </sheetView>
  </sheetViews>
  <sheetFormatPr defaultRowHeight="17"/>
  <cols>
    <col min="1" max="1" width="22.90625" bestFit="1" customWidth="1"/>
    <col min="2" max="2" width="13.6328125" bestFit="1" customWidth="1"/>
    <col min="3" max="3" width="9.26953125" customWidth="1"/>
    <col min="4" max="4" width="12.08984375" bestFit="1" customWidth="1"/>
  </cols>
  <sheetData>
    <row r="3" spans="1:5">
      <c r="B3" t="s">
        <v>65</v>
      </c>
      <c r="D3" t="s">
        <v>66</v>
      </c>
    </row>
    <row r="4" spans="1:5" hidden="1">
      <c r="A4" t="s">
        <v>67</v>
      </c>
      <c r="B4">
        <v>4.8499999999999996</v>
      </c>
      <c r="C4" t="s">
        <v>69</v>
      </c>
      <c r="D4">
        <v>1.02</v>
      </c>
      <c r="E4" t="s">
        <v>73</v>
      </c>
    </row>
    <row r="5" spans="1:5" hidden="1">
      <c r="A5" t="s">
        <v>68</v>
      </c>
      <c r="B5">
        <v>25</v>
      </c>
      <c r="C5" t="s">
        <v>70</v>
      </c>
      <c r="D5">
        <v>0.94299999999999995</v>
      </c>
      <c r="E5" t="s">
        <v>74</v>
      </c>
    </row>
    <row r="6" spans="1:5">
      <c r="A6" t="s">
        <v>71</v>
      </c>
      <c r="B6">
        <f>2092+192+1438</f>
        <v>3722</v>
      </c>
      <c r="C6" t="s">
        <v>72</v>
      </c>
      <c r="D6">
        <f>447+1117</f>
        <v>1564</v>
      </c>
      <c r="E6" t="s">
        <v>72</v>
      </c>
    </row>
    <row r="7" spans="1:5">
      <c r="A7" t="s">
        <v>76</v>
      </c>
      <c r="B7">
        <v>302</v>
      </c>
      <c r="C7" t="s">
        <v>77</v>
      </c>
      <c r="D7">
        <v>184</v>
      </c>
      <c r="E7" t="s">
        <v>77</v>
      </c>
    </row>
    <row r="8" spans="1:5">
      <c r="A8" t="s">
        <v>82</v>
      </c>
      <c r="B8">
        <v>1.2</v>
      </c>
      <c r="C8" t="s">
        <v>83</v>
      </c>
      <c r="D8">
        <v>0.95</v>
      </c>
      <c r="E8" t="s">
        <v>83</v>
      </c>
    </row>
    <row r="10" spans="1:5">
      <c r="A10" t="s">
        <v>75</v>
      </c>
      <c r="B10" s="16">
        <f>B8-D8</f>
        <v>0.25</v>
      </c>
    </row>
    <row r="11" spans="1:5">
      <c r="A11" t="s">
        <v>78</v>
      </c>
      <c r="B11" s="16">
        <f>B6/B7-D6/D7</f>
        <v>3.8245033112582778</v>
      </c>
    </row>
    <row r="12" spans="1:5">
      <c r="A12" t="s">
        <v>81</v>
      </c>
      <c r="B12" s="16">
        <f>SUM(B10:B11)</f>
        <v>4.0745033112582778</v>
      </c>
    </row>
    <row r="14" spans="1:5">
      <c r="A14" t="s">
        <v>79</v>
      </c>
      <c r="B14" s="14">
        <v>1000000</v>
      </c>
    </row>
    <row r="15" spans="1:5">
      <c r="A15" t="s">
        <v>77</v>
      </c>
      <c r="B15" s="14">
        <f>B14/B12</f>
        <v>245428.68752539621</v>
      </c>
    </row>
    <row r="16" spans="1:5">
      <c r="A16" t="s">
        <v>80</v>
      </c>
      <c r="B16" s="17">
        <f>B15/D7</f>
        <v>1333.8515626380229</v>
      </c>
    </row>
    <row r="17" spans="1:2">
      <c r="A17" t="s">
        <v>84</v>
      </c>
      <c r="B17" s="13">
        <f>B16/365</f>
        <v>3.6543878428438981</v>
      </c>
    </row>
    <row r="18" spans="1:2">
      <c r="B18" s="15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Dealer</vt:lpstr>
      <vt:lpstr>Price</vt:lpstr>
      <vt:lpstr>Operators</vt:lpstr>
      <vt:lpstr>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Syuan Li</dc:creator>
  <cp:lastModifiedBy>Bo Syuan Li</cp:lastModifiedBy>
  <dcterms:created xsi:type="dcterms:W3CDTF">2025-05-09T03:04:30Z</dcterms:created>
  <dcterms:modified xsi:type="dcterms:W3CDTF">2025-05-12T09:26:00Z</dcterms:modified>
</cp:coreProperties>
</file>